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Data>
    <row r="1">
      <c r="A1" t="str">
        <v>site_number</v>
      </c>
      <c r="B1" t="str">
        <v>url</v>
      </c>
    </row>
    <row r="2">
      <c r="A2">
        <v>1</v>
      </c>
      <c r="B2" t="str">
        <f>HYPERLINK("https://bitportals.com/article/phemex-introduces-247-tradfi-futures-trading-with-0-fee-carnival-creating-an-all-in-one-trading-hub", "https://bitportals.com/article/phemex-introduces-247-tradfi-futures-trading-with-0-fee-carnival-creating-an-all-in-one-trading-hub")</f>
        <v>https://bitportals.com/article/phemex-introduces-247-tradfi-futures-trading-with-0-fee-carnival-creating-an-all-in-one-trading-hub</v>
      </c>
    </row>
    <row r="3">
      <c r="A3">
        <v>2</v>
      </c>
      <c r="B3" t="str">
        <f>HYPERLINK("https://blockexx.com/article/phemex-introduces-247-tradfi-futures-trading-with-0-fee-carnival-creating-an-all-in-one-trading-hub", "https://blockexx.com/article/phemex-introduces-247-tradfi-futures-trading-with-0-fee-carnival-creating-an-all-in-one-trading-hub")</f>
        <v>https://blockexx.com/article/phemex-introduces-247-tradfi-futures-trading-with-0-fee-carnival-creating-an-all-in-one-trading-hub</v>
      </c>
    </row>
    <row r="4">
      <c r="A4">
        <v>3</v>
      </c>
      <c r="B4" t="str">
        <f>HYPERLINK("https://blockupx.com/article/phemex-introduces-247-tradfi-futures-trading-with-0-fee-carnival-creating-an-all-in-one-trading-hub", "https://blockupx.com/article/phemex-introduces-247-tradfi-futures-trading-with-0-fee-carnival-creating-an-all-in-one-trading-hub")</f>
        <v>https://blockupx.com/article/phemex-introduces-247-tradfi-futures-trading-with-0-fee-carnival-creating-an-all-in-one-trading-hub</v>
      </c>
    </row>
    <row r="5">
      <c r="A5">
        <v>4</v>
      </c>
      <c r="B5" t="str">
        <f>HYPERLINK("https://chainexx.com/article/phemex-introduces-247-tradfi-futures-trading-with-0-fee-carnival-creating-an-all-in-one-trading-hub", "https://chainexx.com/article/phemex-introduces-247-tradfi-futures-trading-with-0-fee-carnival-creating-an-all-in-one-trading-hub")</f>
        <v>https://chainexx.com/article/phemex-introduces-247-tradfi-futures-trading-with-0-fee-carnival-creating-an-all-in-one-trading-hub</v>
      </c>
    </row>
    <row r="6">
      <c r="A6">
        <v>5</v>
      </c>
      <c r="B6" t="str">
        <f>HYPERLINK("https://chainradx.com/article/phemex-introduces-247-tradfi-futures-trading-with-0-fee-carnival-creating-an-all-in-one-trading-hub", "https://chainradx.com/article/phemex-introduces-247-tradfi-futures-trading-with-0-fee-carnival-creating-an-all-in-one-trading-hub")</f>
        <v>https://chainradx.com/article/phemex-introduces-247-tradfi-futures-trading-with-0-fee-carnival-creating-an-all-in-one-trading-hub</v>
      </c>
    </row>
    <row r="7">
      <c r="A7">
        <v>6</v>
      </c>
      <c r="B7" t="str">
        <f>HYPERLINK("https://coinfusexx.com/article/phemex-introduces-247-tradfi-futures-trading-with-0-fee-carnival-creating-an-all-in-one-trading-hub", "https://coinfusexx.com/article/phemex-introduces-247-tradfi-futures-trading-with-0-fee-carnival-creating-an-all-in-one-trading-hub")</f>
        <v>https://coinfusexx.com/article/phemex-introduces-247-tradfi-futures-trading-with-0-fee-carnival-creating-an-all-in-one-trading-hub</v>
      </c>
    </row>
    <row r="8">
      <c r="A8">
        <v>7</v>
      </c>
      <c r="B8" t="str">
        <f>HYPERLINK("https://coinmapx.com/article/phemex-introduces-247-tradfi-futures-trading-with-0-fee-carnival-creating-an-all-in-one-trading-hub", "https://coinmapx.com/article/phemex-introduces-247-tradfi-futures-trading-with-0-fee-carnival-creating-an-all-in-one-trading-hub")</f>
        <v>https://coinmapx.com/article/phemex-introduces-247-tradfi-futures-trading-with-0-fee-carnival-creating-an-all-in-one-trading-hub</v>
      </c>
    </row>
    <row r="9">
      <c r="A9">
        <v>8</v>
      </c>
      <c r="B9" t="str">
        <f>HYPERLINK("https://coinnetxx.com/article/phemex-introduces-247-tradfi-futures-trading-with-0-fee-carnival-creating-an-all-in-one-trading-hub", "https://coinnetxx.com/article/phemex-introduces-247-tradfi-futures-trading-with-0-fee-carnival-creating-an-all-in-one-trading-hub")</f>
        <v>https://coinnetxx.com/article/phemex-introduces-247-tradfi-futures-trading-with-0-fee-carnival-creating-an-all-in-one-trading-hub</v>
      </c>
    </row>
    <row r="10">
      <c r="A10">
        <v>9</v>
      </c>
      <c r="B10" t="str">
        <f>HYPERLINK("https://coinoptixx.com/article/phemex-introduces-247-tradfi-futures-trading-with-0-fee-carnival-creating-an-all-in-one-trading-hub", "https://coinoptixx.com/article/phemex-introduces-247-tradfi-futures-trading-with-0-fee-carnival-creating-an-all-in-one-trading-hub")</f>
        <v>https://coinoptixx.com/article/phemex-introduces-247-tradfi-futures-trading-with-0-fee-carnival-creating-an-all-in-one-trading-hub</v>
      </c>
    </row>
    <row r="11">
      <c r="A11">
        <v>10</v>
      </c>
      <c r="B11" t="str">
        <f>HYPERLINK("https://coinstreamy.com/article/phemex-introduces-247-tradfi-futures-trading-with-0-fee-carnival-creating-an-all-in-one-trading-hub", "https://coinstreamy.com/article/phemex-introduces-247-tradfi-futures-trading-with-0-fee-carnival-creating-an-all-in-one-trading-hub")</f>
        <v>https://coinstreamy.com/article/phemex-introduces-247-tradfi-futures-trading-with-0-fee-carnival-creating-an-all-in-one-trading-hub</v>
      </c>
    </row>
    <row r="12">
      <c r="A12">
        <v>11</v>
      </c>
      <c r="B12" t="str">
        <f>HYPERLINK("https://cointraxx.com/article/phemex-introduces-247-tradfi-futures-trading-with-0-fee-carnival-creating-an-all-in-one-trading-hub", "https://cointraxx.com/article/phemex-introduces-247-tradfi-futures-trading-with-0-fee-carnival-creating-an-all-in-one-trading-hub")</f>
        <v>https://cointraxx.com/article/phemex-introduces-247-tradfi-futures-trading-with-0-fee-carnival-creating-an-all-in-one-trading-hub</v>
      </c>
    </row>
    <row r="13">
      <c r="A13">
        <v>12</v>
      </c>
      <c r="B13" t="str">
        <f>HYPERLINK("https://cryptodexx.com/article/phemex-introduces-247-tradfi-futures-trading-with-0-fee-carnival-creating-an-all-in-one-trading-hub", "https://cryptodexx.com/article/phemex-introduces-247-tradfi-futures-trading-with-0-fee-carnival-creating-an-all-in-one-trading-hub")</f>
        <v>https://cryptodexx.com/article/phemex-introduces-247-tradfi-futures-trading-with-0-fee-carnival-creating-an-all-in-one-trading-hub</v>
      </c>
    </row>
    <row r="14">
      <c r="A14">
        <v>13</v>
      </c>
      <c r="B14" t="str">
        <f>HYPERLINK("https://ethmediax.com/article/phemex-introduces-247-tradfi-futures-trading-with-0-fee-carnival-creating-an-all-in-one-trading-hub", "https://ethmediax.com/article/phemex-introduces-247-tradfi-futures-trading-with-0-fee-carnival-creating-an-all-in-one-trading-hub")</f>
        <v>https://ethmediax.com/article/phemex-introduces-247-tradfi-futures-trading-with-0-fee-carnival-creating-an-all-in-one-trading-hub</v>
      </c>
    </row>
    <row r="15">
      <c r="A15">
        <v>14</v>
      </c>
      <c r="B15" t="str">
        <f>HYPERLINK("https://ethpurs.com/article/phemex-introduces-247-tradfi-futures-trading-with-0-fee-carnival-creating-an-all-in-one-trading-hub", "https://ethpurs.com/article/phemex-introduces-247-tradfi-futures-trading-with-0-fee-carnival-creating-an-all-in-one-trading-hub")</f>
        <v>https://ethpurs.com/article/phemex-introduces-247-tradfi-futures-trading-with-0-fee-carnival-creating-an-all-in-one-trading-hub</v>
      </c>
    </row>
    <row r="16">
      <c r="A16">
        <v>15</v>
      </c>
      <c r="B16" t="str">
        <f>HYPERLINK("https://ethtrackr.com/article/phemex-introduces-247-tradfi-futures-trading-with-0-fee-carnival-creating-an-all-in-one-trading-hub", "https://ethtrackr.com/article/phemex-introduces-247-tradfi-futures-trading-with-0-fee-carnival-creating-an-all-in-one-trading-hub")</f>
        <v>https://ethtrackr.com/article/phemex-introduces-247-tradfi-futures-trading-with-0-fee-carnival-creating-an-all-in-one-trading-hub</v>
      </c>
    </row>
    <row r="17">
      <c r="A17">
        <v>16</v>
      </c>
      <c r="B17" t="str">
        <f>HYPERLINK("https://web3flowx.com/article/phemex-introduces-247-tradfi-futures-trading-with-0-fee-carnival-creating-an-all-in-one-trading-hub", "https://web3flowx.com/article/phemex-introduces-247-tradfi-futures-trading-with-0-fee-carnival-creating-an-all-in-one-trading-hub")</f>
        <v>https://web3flowx.com/article/phemex-introduces-247-tradfi-futures-trading-with-0-fee-carnival-creating-an-all-in-one-trading-hub</v>
      </c>
    </row>
    <row r="18">
      <c r="A18">
        <v>17</v>
      </c>
      <c r="B18" t="str">
        <f>HYPERLINK("https://web3focusx.com/article/phemex-introduces-247-tradfi-futures-trading-with-0-fee-carnival-creating-an-all-in-one-trading-hub", "https://web3focusx.com/article/phemex-introduces-247-tradfi-futures-trading-with-0-fee-carnival-creating-an-all-in-one-trading-hub")</f>
        <v>https://web3focusx.com/article/phemex-introduces-247-tradfi-futures-trading-with-0-fee-carnival-creating-an-all-in-one-trading-hub</v>
      </c>
    </row>
    <row r="19">
      <c r="A19">
        <v>18</v>
      </c>
      <c r="B19" t="str">
        <f>HYPERLINK("https://web3mintx.com/article/phemex-introduces-247-tradfi-futures-trading-with-0-fee-carnival-creating-an-all-in-one-trading-hub", "https://web3mintx.com/article/phemex-introduces-247-tradfi-futures-trading-with-0-fee-carnival-creating-an-all-in-one-trading-hub")</f>
        <v>https://web3mintx.com/article/phemex-introduces-247-tradfi-futures-trading-with-0-fee-carnival-creating-an-all-in-one-trading-hub</v>
      </c>
    </row>
    <row r="20">
      <c r="A20">
        <v>19</v>
      </c>
      <c r="B20" t="str">
        <f>HYPERLINK("https://web3sweeep.com/article/phemex-introduces-247-tradfi-futures-trading-with-0-fee-carnival-creating-an-all-in-one-trading-hub", "https://web3sweeep.com/article/phemex-introduces-247-tradfi-futures-trading-with-0-fee-carnival-creating-an-all-in-one-trading-hub")</f>
        <v>https://web3sweeep.com/article/phemex-introduces-247-tradfi-futures-trading-with-0-fee-carnival-creating-an-all-in-one-trading-hub</v>
      </c>
    </row>
    <row r="21">
      <c r="A21">
        <v>20</v>
      </c>
      <c r="B21" t="str">
        <f>HYPERLINK("https://coininboxx.com/article/phemex-introduces-247-tradfi-futures-trading-with-0-fee-carnival-creating-an-all-in-one-trading-hub", "https://coininboxx.com/article/phemex-introduces-247-tradfi-futures-trading-with-0-fee-carnival-creating-an-all-in-one-trading-hub")</f>
        <v>https://coininboxx.com/article/phemex-introduces-247-tradfi-futures-trading-with-0-fee-carnival-creating-an-all-in-one-trading-hub</v>
      </c>
    </row>
    <row r="22">
      <c r="A22">
        <v>21</v>
      </c>
      <c r="B22" t="str">
        <f>HYPERLINK("https://coinpanelx.com/article/phemex-introduces-247-tradfi-futures-trading-with-0-fee-carnival-creating-an-all-in-one-trading-hub", "https://coinpanelx.com/article/phemex-introduces-247-tradfi-futures-trading-with-0-fee-carnival-creating-an-all-in-one-trading-hub")</f>
        <v>https://coinpanelx.com/article/phemex-introduces-247-tradfi-futures-trading-with-0-fee-carnival-creating-an-all-in-one-trading-hub</v>
      </c>
    </row>
    <row r="23">
      <c r="A23">
        <v>22</v>
      </c>
      <c r="B23" t="str">
        <f>HYPERLINK("https://cyptoflash.com/article/phemex-introduces-247-tradfi-futures-trading-with-0-fee-carnival-creating-an-all-in-one-trading-hub", "https://cyptoflash.com/article/phemex-introduces-247-tradfi-futures-trading-with-0-fee-carnival-creating-an-all-in-one-trading-hub")</f>
        <v>https://cyptoflash.com/article/phemex-introduces-247-tradfi-futures-trading-with-0-fee-carnival-creating-an-all-in-one-trading-hub</v>
      </c>
    </row>
    <row r="24">
      <c r="A24">
        <v>23</v>
      </c>
      <c r="B24" t="str">
        <f>HYPERLINK("https://ethwatcher.com/article/phemex-introduces-247-tradfi-futures-trading-with-0-fee-carnival-creating-an-all-in-one-trading-hub", "https://ethwatcher.com/article/phemex-introduces-247-tradfi-futures-trading-with-0-fee-carnival-creating-an-all-in-one-trading-hub")</f>
        <v>https://ethwatcher.com/article/phemex-introduces-247-tradfi-futures-trading-with-0-fee-carnival-creating-an-all-in-one-trading-hub</v>
      </c>
    </row>
    <row r="25">
      <c r="A25">
        <v>24</v>
      </c>
      <c r="B25" t="str">
        <f>HYPERLINK("https://ethblocker.com/article/phemex-introduces-247-tradfi-futures-trading-with-0-fee-carnival-creating-an-all-in-one-trading-hub", "https://ethblocker.com/article/phemex-introduces-247-tradfi-futures-trading-with-0-fee-carnival-creating-an-all-in-one-trading-hub")</f>
        <v>https://ethblocker.com/article/phemex-introduces-247-tradfi-futures-trading-with-0-fee-carnival-creating-an-all-in-one-trading-hub</v>
      </c>
    </row>
    <row r="26">
      <c r="A26">
        <v>25</v>
      </c>
      <c r="B26" t="str">
        <f>HYPERLINK("https://newsblocky.com/article/phemex-introduces-247-tradfi-futures-trading-with-0-fee-carnival-creating-an-all-in-one-trading-hub", "https://newsblocky.com/article/phemex-introduces-247-tradfi-futures-trading-with-0-fee-carnival-creating-an-all-in-one-trading-hub")</f>
        <v>https://newsblocky.com/article/phemex-introduces-247-tradfi-futures-trading-with-0-fee-carnival-creating-an-all-in-one-trading-hub</v>
      </c>
    </row>
    <row r="27">
      <c r="A27">
        <v>26</v>
      </c>
      <c r="B27" t="str">
        <f>HYPERLINK("https://web3ground.co/article/phemex-introduces-247-tradfi-futures-trading-with-0-fee-carnival-creating-an-all-in-one-trading-hub", "https://web3ground.co/article/phemex-introduces-247-tradfi-futures-trading-with-0-fee-carnival-creating-an-all-in-one-trading-hub")</f>
        <v>https://web3ground.co/article/phemex-introduces-247-tradfi-futures-trading-with-0-fee-carnival-creating-an-all-in-one-trading-hub</v>
      </c>
    </row>
    <row r="28">
      <c r="A28">
        <v>27</v>
      </c>
      <c r="B28" t="str">
        <f>HYPERLINK("https://zkroller.com/article/phemex-introduces-247-tradfi-futures-trading-with-0-fee-carnival-creating-an-all-in-one-trading-hub", "https://zkroller.com/article/phemex-introduces-247-tradfi-futures-trading-with-0-fee-carnival-creating-an-all-in-one-trading-hub")</f>
        <v>https://zkroller.com/article/phemex-introduces-247-tradfi-futures-trading-with-0-fee-carnival-creating-an-all-in-one-trading-hub</v>
      </c>
    </row>
    <row r="29">
      <c r="A29">
        <v>28</v>
      </c>
      <c r="B29" t="str">
        <f>HYPERLINK("https://gamblnow.com/article/phemex-introduces-247-tradfi-futures-trading-with-0-fee-carnival-creating-an-all-in-one-trading-hub", "https://gamblnow.com/article/phemex-introduces-247-tradfi-futures-trading-with-0-fee-carnival-creating-an-all-in-one-trading-hub")</f>
        <v>https://gamblnow.com/article/phemex-introduces-247-tradfi-futures-trading-with-0-fee-carnival-creating-an-all-in-one-trading-hub</v>
      </c>
    </row>
    <row r="30">
      <c r="A30">
        <v>29</v>
      </c>
      <c r="B30" t="str">
        <f>HYPERLINK("https://nftgamble.com/article/phemex-introduces-247-tradfi-futures-trading-with-0-fee-carnival-creating-an-all-in-one-trading-hub", "https://nftgamble.com/article/phemex-introduces-247-tradfi-futures-trading-with-0-fee-carnival-creating-an-all-in-one-trading-hub")</f>
        <v>https://nftgamble.com/article/phemex-introduces-247-tradfi-futures-trading-with-0-fee-carnival-creating-an-all-in-one-trading-hub</v>
      </c>
    </row>
    <row r="31">
      <c r="A31">
        <v>30</v>
      </c>
      <c r="B31" t="str">
        <f>HYPERLINK("https://chainslotz.com/article/phemex-introduces-247-tradfi-futures-trading-with-0-fee-carnival-creating-an-all-in-one-trading-hub", "https://chainslotz.com/article/phemex-introduces-247-tradfi-futures-trading-with-0-fee-carnival-creating-an-all-in-one-trading-hub")</f>
        <v>https://chainslotz.com/article/phemex-introduces-247-tradfi-futures-trading-with-0-fee-carnival-creating-an-all-in-one-trading-hub</v>
      </c>
    </row>
    <row r="32">
      <c r="A32">
        <v>31</v>
      </c>
      <c r="B32" t="str">
        <f>HYPERLINK("https://dust2win.com/article/phemex-introduces-247-tradfi-futures-trading-with-0-fee-carnival-creating-an-all-in-one-trading-hub", "https://dust2win.com/article/phemex-introduces-247-tradfi-futures-trading-with-0-fee-carnival-creating-an-all-in-one-trading-hub")</f>
        <v>https://dust2win.com/article/phemex-introduces-247-tradfi-futures-trading-with-0-fee-carnival-creating-an-all-in-one-trading-hub</v>
      </c>
    </row>
    <row r="33">
      <c r="A33">
        <v>32</v>
      </c>
      <c r="B33" t="str">
        <f>HYPERLINK("https://yieldgambler.com/article/phemex-introduces-247-tradfi-futures-trading-with-0-fee-carnival-creating-an-all-in-one-trading-hub", "https://yieldgambler.com/article/phemex-introduces-247-tradfi-futures-trading-with-0-fee-carnival-creating-an-all-in-one-trading-hub")</f>
        <v>https://yieldgambler.com/article/phemex-introduces-247-tradfi-futures-trading-with-0-fee-carnival-creating-an-all-in-one-trading-hub</v>
      </c>
    </row>
    <row r="34">
      <c r="A34">
        <v>33</v>
      </c>
      <c r="B34" t="str">
        <f>HYPERLINK("https://chainplayz.com/article/phemex-introduces-247-tradfi-futures-trading-with-0-fee-carnival-creating-an-all-in-one-trading-hub", "https://chainplayz.com/article/phemex-introduces-247-tradfi-futures-trading-with-0-fee-carnival-creating-an-all-in-one-trading-hub")</f>
        <v>https://chainplayz.com/article/phemex-introduces-247-tradfi-futures-trading-with-0-fee-carnival-creating-an-all-in-one-trading-hub</v>
      </c>
    </row>
    <row r="35">
      <c r="A35">
        <v>34</v>
      </c>
      <c r="B35" t="str">
        <f>HYPERLINK("https://oddsnnow.com/article/phemex-introduces-247-tradfi-futures-trading-with-0-fee-carnival-creating-an-all-in-one-trading-hub", "https://oddsnnow.com/article/phemex-introduces-247-tradfi-futures-trading-with-0-fee-carnival-creating-an-all-in-one-trading-hub")</f>
        <v>https://oddsnnow.com/article/phemex-introduces-247-tradfi-futures-trading-with-0-fee-carnival-creating-an-all-in-one-trading-hub</v>
      </c>
    </row>
    <row r="36">
      <c r="A36">
        <v>35</v>
      </c>
      <c r="B36" t="str">
        <f>HYPERLINK("https://roundmag.com/article/phemex-introduces-247-tradfi-futures-trading-with-0-fee-carnival-creating-an-all-in-one-trading-hub", "https://roundmag.com/article/phemex-introduces-247-tradfi-futures-trading-with-0-fee-carnival-creating-an-all-in-one-trading-hub")</f>
        <v>https://roundmag.com/article/phemex-introduces-247-tradfi-futures-trading-with-0-fee-carnival-creating-an-all-in-one-trading-hub</v>
      </c>
    </row>
    <row r="37">
      <c r="A37">
        <v>36</v>
      </c>
      <c r="B37" t="str">
        <f>HYPERLINK("https://bluffnow.com/article/phemex-introduces-247-tradfi-futures-trading-with-0-fee-carnival-creating-an-all-in-one-trading-hub", "https://bluffnow.com/article/phemex-introduces-247-tradfi-futures-trading-with-0-fee-carnival-creating-an-all-in-one-trading-hub")</f>
        <v>https://bluffnow.com/article/phemex-introduces-247-tradfi-futures-trading-with-0-fee-carnival-creating-an-all-in-one-trading-hub</v>
      </c>
    </row>
    <row r="38">
      <c r="A38">
        <v>37</v>
      </c>
      <c r="B38" t="str">
        <f>HYPERLINK("https://playslog.com/article/phemex-introduces-247-tradfi-futures-trading-with-0-fee-carnival-creating-an-all-in-one-trading-hub", "https://playslog.com/article/phemex-introduces-247-tradfi-futures-trading-with-0-fee-carnival-creating-an-all-in-one-trading-hub")</f>
        <v>https://playslog.com/article/phemex-introduces-247-tradfi-futures-trading-with-0-fee-carnival-creating-an-all-in-one-trading-hub</v>
      </c>
    </row>
    <row r="39">
      <c r="A39">
        <v>38</v>
      </c>
      <c r="B39" t="str">
        <f>HYPERLINK("https://betsyhub.com/article/phemex-introduces-247-tradfi-futures-trading-with-0-fee-carnival-creating-an-all-in-one-trading-hub", "https://betsyhub.com/article/phemex-introduces-247-tradfi-futures-trading-with-0-fee-carnival-creating-an-all-in-one-trading-hub")</f>
        <v>https://betsyhub.com/article/phemex-introduces-247-tradfi-futures-trading-with-0-fee-carnival-creating-an-all-in-one-trading-hub</v>
      </c>
    </row>
    <row r="40">
      <c r="A40">
        <v>39</v>
      </c>
      <c r="B40" t="str">
        <f>HYPERLINK("https://rollzmag.com/article/phemex-introduces-247-tradfi-futures-trading-with-0-fee-carnival-creating-an-all-in-one-trading-hub", "https://rollzmag.com/article/phemex-introduces-247-tradfi-futures-trading-with-0-fee-carnival-creating-an-all-in-one-trading-hub")</f>
        <v>https://rollzmag.com/article/phemex-introduces-247-tradfi-futures-trading-with-0-fee-carnival-creating-an-all-in-one-trading-hub</v>
      </c>
    </row>
    <row r="41">
      <c r="A41">
        <v>40</v>
      </c>
      <c r="B41" t="str">
        <f>HYPERLINK("https://wagerdao.com/article/phemex-introduces-247-tradfi-futures-trading-with-0-fee-carnival-creating-an-all-in-one-trading-hub", "https://wagerdao.com/article/phemex-introduces-247-tradfi-futures-trading-with-0-fee-carnival-creating-an-all-in-one-trading-hub")</f>
        <v>https://wagerdao.com/article/phemex-introduces-247-tradfi-futures-trading-with-0-fee-carnival-creating-an-all-in-one-trading-hub</v>
      </c>
    </row>
    <row r="42">
      <c r="A42">
        <v>41</v>
      </c>
      <c r="B42" t="str">
        <f>HYPERLINK("https://zkcasinoroll.com/article/phemex-introduces-247-tradfi-futures-trading-with-0-fee-carnival-creating-an-all-in-one-trading-hub", "https://zkcasinoroll.com/article/phemex-introduces-247-tradfi-futures-trading-with-0-fee-carnival-creating-an-all-in-one-trading-hub")</f>
        <v>https://zkcasinoroll.com/article/phemex-introduces-247-tradfi-futures-trading-with-0-fee-carnival-creating-an-all-in-one-trading-hub</v>
      </c>
    </row>
    <row r="43">
      <c r="A43">
        <v>42</v>
      </c>
      <c r="B43" t="str">
        <f>HYPERLINK("https://chainplayz.com/article/phemex-introduces-247-tradfi-futures-trading-with-0-fee-carnival-creating-an-all-in-one-trading-hub", "https://chainplayz.com/article/phemex-introduces-247-tradfi-futures-trading-with-0-fee-carnival-creating-an-all-in-one-trading-hub")</f>
        <v>https://chainplayz.com/article/phemex-introduces-247-tradfi-futures-trading-with-0-fee-carnival-creating-an-all-in-one-trading-hub</v>
      </c>
    </row>
    <row r="44">
      <c r="A44">
        <v>43</v>
      </c>
      <c r="B44" t="str">
        <f>HYPERLINK("https://l2slots.com/article/phemex-introduces-247-tradfi-futures-trading-with-0-fee-carnival-creating-an-all-in-one-trading-hub", "https://l2slots.com/article/phemex-introduces-247-tradfi-futures-trading-with-0-fee-carnival-creating-an-all-in-one-trading-hub")</f>
        <v>https://l2slots.com/article/phemex-introduces-247-tradfi-futures-trading-with-0-fee-carnival-creating-an-all-in-one-trading-hub</v>
      </c>
    </row>
    <row r="45">
      <c r="A45">
        <v>44</v>
      </c>
      <c r="B45" t="str">
        <f>HYPERLINK("https://reelonow.com/article/phemex-introduces-247-tradfi-futures-trading-with-0-fee-carnival-creating-an-all-in-one-trading-hub", "https://reelonow.com/article/phemex-introduces-247-tradfi-futures-trading-with-0-fee-carnival-creating-an-all-in-one-trading-hub")</f>
        <v>https://reelonow.com/article/phemex-introduces-247-tradfi-futures-trading-with-0-fee-carnival-creating-an-all-in-one-trading-hub</v>
      </c>
    </row>
    <row r="46">
      <c r="A46">
        <v>45</v>
      </c>
      <c r="B46" t="str">
        <f>HYPERLINK("https://dealzmag.com/article/phemex-introduces-247-tradfi-futures-trading-with-0-fee-carnival-creating-an-all-in-one-trading-hub", "https://dealzmag.com/article/phemex-introduces-247-tradfi-futures-trading-with-0-fee-carnival-creating-an-all-in-one-trading-hub")</f>
        <v>https://dealzmag.com/article/phemex-introduces-247-tradfi-futures-trading-with-0-fee-carnival-creating-an-all-in-one-trading-hub</v>
      </c>
    </row>
    <row r="47">
      <c r="A47">
        <v>46</v>
      </c>
      <c r="B47" t="str">
        <f>HYPERLINK("https://rollandearn.com/article/phemex-introduces-247-tradfi-futures-trading-with-0-fee-carnival-creating-an-all-in-one-trading-hub", "https://rollandearn.com/article/phemex-introduces-247-tradfi-futures-trading-with-0-fee-carnival-creating-an-all-in-one-trading-hub")</f>
        <v>https://rollandearn.com/article/phemex-introduces-247-tradfi-futures-trading-with-0-fee-carnival-creating-an-all-in-one-trading-hub</v>
      </c>
    </row>
    <row r="48">
      <c r="A48">
        <v>47</v>
      </c>
      <c r="B48" t="str">
        <f>HYPERLINK("https://rollonchain.com/article/phemex-introduces-247-tradfi-futures-trading-with-0-fee-carnival-creating-an-all-in-one-trading-hub", "https://rollonchain.com/article/phemex-introduces-247-tradfi-futures-trading-with-0-fee-carnival-creating-an-all-in-one-trading-hub")</f>
        <v>https://rollonchain.com/article/phemex-introduces-247-tradfi-futures-trading-with-0-fee-carnival-creating-an-all-in-one-trading-hub</v>
      </c>
    </row>
    <row r="49">
      <c r="A49">
        <v>48</v>
      </c>
      <c r="B49" t="str">
        <f>HYPERLINK("https://wagermag.com/article/phemex-introduces-247-tradfi-futures-trading-with-0-fee-carnival-creating-an-all-in-one-trading-hub", "https://wagermag.com/article/phemex-introduces-247-tradfi-futures-trading-with-0-fee-carnival-creating-an-all-in-one-trading-hub")</f>
        <v>https://wagermag.com/article/phemex-introduces-247-tradfi-futures-trading-with-0-fee-carnival-creating-an-all-in-one-trading-hub</v>
      </c>
    </row>
    <row r="50">
      <c r="A50">
        <v>49</v>
      </c>
      <c r="B50" t="str">
        <f>HYPERLINK("https://spindaoz.com/article/phemex-introduces-247-tradfi-futures-trading-with-0-fee-carnival-creating-an-all-in-one-trading-hub", "https://spindaoz.com/article/phemex-introduces-247-tradfi-futures-trading-with-0-fee-carnival-creating-an-all-in-one-trading-hub")</f>
        <v>https://spindaoz.com/article/phemex-introduces-247-tradfi-futures-trading-with-0-fee-carnival-creating-an-all-in-one-trading-hub</v>
      </c>
    </row>
    <row r="51">
      <c r="A51">
        <v>50</v>
      </c>
      <c r="B51" t="str">
        <f>HYPERLINK("https://shillandspin.com/article/phemex-introduces-247-tradfi-futures-trading-with-0-fee-carnival-creating-an-all-in-one-trading-hub", "https://shillandspin.com/article/phemex-introduces-247-tradfi-futures-trading-with-0-fee-carnival-creating-an-all-in-one-trading-hub")</f>
        <v>https://shillandspin.com/article/phemex-introduces-247-tradfi-futures-trading-with-0-fee-carnival-creating-an-all-in-one-trading-hub</v>
      </c>
    </row>
    <row r="52">
      <c r="A52">
        <v>51</v>
      </c>
      <c r="B52" t="str">
        <f>HYPERLINK("https://layer2casino.com/article/phemex-introduces-247-tradfi-futures-trading-with-0-fee-carnival-creating-an-all-in-one-trading-hub", "https://layer2casino.com/article/phemex-introduces-247-tradfi-futures-trading-with-0-fee-carnival-creating-an-all-in-one-trading-hub")</f>
        <v>https://layer2casino.com/article/phemex-introduces-247-tradfi-futures-trading-with-0-fee-carnival-creating-an-all-in-one-trading-hub</v>
      </c>
    </row>
    <row r="53">
      <c r="A53">
        <v>52</v>
      </c>
      <c r="B53" t="str">
        <f>HYPERLINK("https://jackpotmint.com/article/phemex-introduces-247-tradfi-futures-trading-with-0-fee-carnival-creating-an-all-in-one-trading-hub", "https://jackpotmint.com/article/phemex-introduces-247-tradfi-futures-trading-with-0-fee-carnival-creating-an-all-in-one-trading-hub")</f>
        <v>https://jackpotmint.com/article/phemex-introduces-247-tradfi-futures-trading-with-0-fee-carnival-creating-an-all-in-one-trading-hub</v>
      </c>
    </row>
    <row r="54">
      <c r="A54">
        <v>53</v>
      </c>
      <c r="B54" t="str">
        <f>HYPERLINK("https://slotnstake.com/article/phemex-introduces-247-tradfi-futures-trading-with-0-fee-carnival-creating-an-all-in-one-trading-hub", "https://slotnstake.com/article/phemex-introduces-247-tradfi-futures-trading-with-0-fee-carnival-creating-an-all-in-one-trading-hub")</f>
        <v>https://slotnstake.com/article/phemex-introduces-247-tradfi-futures-trading-with-0-fee-carnival-creating-an-all-in-one-trading-hub</v>
      </c>
    </row>
    <row r="55">
      <c r="A55">
        <v>54</v>
      </c>
      <c r="B55" t="str">
        <f>HYPERLINK("https://finblocker.com/article/phemex-introduces-247-tradfi-futures-trading-with-0-fee-carnival-creating-an-all-in-one-trading-hub", "https://finblocker.com/article/phemex-introduces-247-tradfi-futures-trading-with-0-fee-carnival-creating-an-all-in-one-trading-hub")</f>
        <v>https://finblocker.com/article/phemex-introduces-247-tradfi-futures-trading-with-0-fee-carnival-creating-an-all-in-one-trading-hub</v>
      </c>
    </row>
    <row r="56">
      <c r="A56">
        <v>55</v>
      </c>
      <c r="B56" t="str">
        <f>HYPERLINK("https://ethpursuit.com/article/phemex-introduces-247-tradfi-futures-trading-with-0-fee-carnival-creating-an-all-in-one-trading-hub", "https://ethpursuit.com/article/phemex-introduces-247-tradfi-futures-trading-with-0-fee-carnival-creating-an-all-in-one-trading-hub")</f>
        <v>https://ethpursuit.com/article/phemex-introduces-247-tradfi-futures-trading-with-0-fee-carnival-creating-an-all-in-one-trading-hub</v>
      </c>
    </row>
    <row r="57">
      <c r="A57">
        <v>56</v>
      </c>
      <c r="B57" t="str">
        <f>HYPERLINK("https://ethpioneer.com/article/phemex-introduces-247-tradfi-futures-trading-with-0-fee-carnival-creating-an-all-in-one-trading-hub", "https://ethpioneer.com/article/phemex-introduces-247-tradfi-futures-trading-with-0-fee-carnival-creating-an-all-in-one-trading-hub")</f>
        <v>https://ethpioneer.com/article/phemex-introduces-247-tradfi-futures-trading-with-0-fee-carnival-creating-an-all-in-one-trading-hub</v>
      </c>
    </row>
    <row r="58">
      <c r="A58">
        <v>57</v>
      </c>
      <c r="B58" t="str">
        <f>HYPERLINK("https://coinleverx.com/article/phemex-introduces-247-tradfi-futures-trading-with-0-fee-carnival-creating-an-all-in-one-trading-hub", "https://coinleverx.com/article/phemex-introduces-247-tradfi-futures-trading-with-0-fee-carnival-creating-an-all-in-one-trading-hub")</f>
        <v>https://coinleverx.com/article/phemex-introduces-247-tradfi-futures-trading-with-0-fee-carnival-creating-an-all-in-one-trading-hub</v>
      </c>
    </row>
    <row r="59">
      <c r="A59">
        <v>58</v>
      </c>
      <c r="B59" t="str">
        <f>HYPERLINK("https://blockmarky.com/article/phemex-introduces-247-tradfi-futures-trading-with-0-fee-carnival-creating-an-all-in-one-trading-hub", "https://blockmarky.com/article/phemex-introduces-247-tradfi-futures-trading-with-0-fee-carnival-creating-an-all-in-one-trading-hub")</f>
        <v>https://blockmarky.com/article/phemex-introduces-247-tradfi-futures-trading-with-0-fee-carnival-creating-an-all-in-one-trading-hub</v>
      </c>
    </row>
    <row r="60">
      <c r="A60">
        <v>59</v>
      </c>
      <c r="B60" t="str">
        <f>HYPERLINK("https://cointracky.com/article/phemex-introduces-247-tradfi-futures-trading-with-0-fee-carnival-creating-an-all-in-one-trading-hub", "https://cointracky.com/article/phemex-introduces-247-tradfi-futures-trading-with-0-fee-carnival-creating-an-all-in-one-trading-hub")</f>
        <v>https://cointracky.com/article/phemex-introduces-247-tradfi-futures-trading-with-0-fee-carnival-creating-an-all-in-one-trading-hub</v>
      </c>
    </row>
    <row r="61">
      <c r="A61">
        <v>60</v>
      </c>
      <c r="B61" t="str">
        <f>HYPERLINK("https://bitwatchx.com/article/phemex-introduces-247-tradfi-futures-trading-with-0-fee-carnival-creating-an-all-in-one-trading-hub", "https://bitwatchx.com/article/phemex-introduces-247-tradfi-futures-trading-with-0-fee-carnival-creating-an-all-in-one-trading-hub")</f>
        <v>https://bitwatchx.com/article/phemex-introduces-247-tradfi-futures-trading-with-0-fee-carnival-creating-an-all-in-one-trading-hub</v>
      </c>
    </row>
    <row r="62">
      <c r="A62">
        <v>61</v>
      </c>
      <c r="B62" t="str">
        <f>HYPERLINK("https://coinpursy.com/article/phemex-introduces-247-tradfi-futures-trading-with-0-fee-carnival-creating-an-all-in-one-trading-hub", "https://coinpursy.com/article/phemex-introduces-247-tradfi-futures-trading-with-0-fee-carnival-creating-an-all-in-one-trading-hub")</f>
        <v>https://coinpursy.com/article/phemex-introduces-247-tradfi-futures-trading-with-0-fee-carnival-creating-an-all-in-one-trading-hub</v>
      </c>
    </row>
    <row r="63">
      <c r="A63">
        <v>62</v>
      </c>
      <c r="B63" t="str">
        <f>HYPERLINK("https://chainmaxx.com/article/phemex-introduces-247-tradfi-futures-trading-with-0-fee-carnival-creating-an-all-in-one-trading-hub", "https://chainmaxx.com/article/phemex-introduces-247-tradfi-futures-trading-with-0-fee-carnival-creating-an-all-in-one-trading-hub")</f>
        <v>https://chainmaxx.com/article/phemex-introduces-247-tradfi-futures-trading-with-0-fee-carnival-creating-an-all-in-one-trading-hub</v>
      </c>
    </row>
    <row r="64">
      <c r="A64">
        <v>63</v>
      </c>
      <c r="B64" t="str">
        <f>HYPERLINK("https://casinmagcom/article/phemex-introduces-247-tradfi-futures-trading-with-0-fee-carnival-creating-an-all-in-one-trading-hub", "https://casinmagcom/article/phemex-introduces-247-tradfi-futures-trading-with-0-fee-carnival-creating-an-all-in-one-trading-hub")</f>
        <v>https://casinmagcom/article/phemex-introduces-247-tradfi-futures-trading-with-0-fee-carnival-creating-an-all-in-one-trading-hub</v>
      </c>
    </row>
    <row r="65">
      <c r="A65">
        <v>64</v>
      </c>
      <c r="B65" t="str">
        <f>HYPERLINK("https://blufflog.com/article/phemex-introduces-247-tradfi-futures-trading-with-0-fee-carnival-creating-an-all-in-one-trading-hub", "https://blufflog.com/article/phemex-introduces-247-tradfi-futures-trading-with-0-fee-carnival-creating-an-all-in-one-trading-hub")</f>
        <v>https://blufflog.com/article/phemex-introduces-247-tradfi-futures-trading-with-0-fee-carnival-creating-an-all-in-one-trading-hub</v>
      </c>
    </row>
    <row r="66">
      <c r="A66">
        <v>65</v>
      </c>
      <c r="B66" t="str">
        <f>HYPERLINK("https://betandbridge.com/article/phemex-introduces-247-tradfi-futures-trading-with-0-fee-carnival-creating-an-all-in-one-trading-hub", "https://betandbridge.com/article/phemex-introduces-247-tradfi-futures-trading-with-0-fee-carnival-creating-an-all-in-one-trading-hub")</f>
        <v>https://betandbridge.com/article/phemex-introduces-247-tradfi-futures-trading-with-0-fee-carnival-creating-an-all-in-one-trading-hub</v>
      </c>
    </row>
    <row r="67">
      <c r="A67">
        <v>66</v>
      </c>
      <c r="B67" t="str">
        <f>HYPERLINK("https://dicerz.com/article/phemex-introduces-247-tradfi-futures-trading-with-0-fee-carnival-creating-an-all-in-one-trading-hub", "https://dicerz.com/article/phemex-introduces-247-tradfi-futures-trading-with-0-fee-carnival-creating-an-all-in-one-trading-hub")</f>
        <v>https://dicerz.com/article/phemex-introduces-247-tradfi-futures-trading-with-0-fee-carnival-creating-an-all-in-one-trading-hub</v>
      </c>
    </row>
    <row r="68">
      <c r="A68">
        <v>67</v>
      </c>
      <c r="B68" t="str">
        <f>HYPERLINK("https://blokto.com/article/phemex-introduces-247-tradfi-futures-trading-with-0-fee-carnival-creating-an-all-in-one-trading-hub", "https://blokto.com/article/phemex-introduces-247-tradfi-futures-trading-with-0-fee-carnival-creating-an-all-in-one-trading-hub")</f>
        <v>https://blokto.com/article/phemex-introduces-247-tradfi-futures-trading-with-0-fee-carnival-creating-an-all-in-one-trading-hub</v>
      </c>
    </row>
    <row r="69">
      <c r="A69">
        <v>68</v>
      </c>
      <c r="B69" t="str">
        <f>HYPERLINK("https://blokmag.com/article/phemex-introduces-247-tradfi-futures-trading-with-0-fee-carnival-creating-an-all-in-one-trading-hub", "https://blokmag.com/article/phemex-introduces-247-tradfi-futures-trading-with-0-fee-carnival-creating-an-all-in-one-trading-hub")</f>
        <v>https://blokmag.com/article/phemex-introduces-247-tradfi-futures-trading-with-0-fee-carnival-creating-an-all-in-one-trading-hub</v>
      </c>
    </row>
    <row r="70">
      <c r="A70">
        <v>69</v>
      </c>
      <c r="B70" t="str">
        <f>HYPERLINK("https://tokeye.com/article/phemex-introduces-247-tradfi-futures-trading-with-0-fee-carnival-creating-an-all-in-one-trading-hub", "https://tokeye.com/article/phemex-introduces-247-tradfi-futures-trading-with-0-fee-carnival-creating-an-all-in-one-trading-hub")</f>
        <v>https://tokeye.com/article/phemex-introduces-247-tradfi-futures-trading-with-0-fee-carnival-creating-an-all-in-one-trading-hub</v>
      </c>
    </row>
    <row r="71">
      <c r="A71">
        <v>70</v>
      </c>
      <c r="B71" t="str">
        <f>HYPERLINK("https://blokone.com/article/phemex-introduces-247-tradfi-futures-trading-with-0-fee-carnival-creating-an-all-in-one-trading-hub", "https://blokone.com/article/phemex-introduces-247-tradfi-futures-trading-with-0-fee-carnival-creating-an-all-in-one-trading-hub")</f>
        <v>https://blokone.com/article/phemex-introduces-247-tradfi-futures-trading-with-0-fee-carnival-creating-an-all-in-one-trading-hub</v>
      </c>
    </row>
    <row r="72">
      <c r="A72">
        <v>71</v>
      </c>
      <c r="B72" t="str">
        <f>HYPERLINK("https://blokcast.com/article/phemex-introduces-247-tradfi-futures-trading-with-0-fee-carnival-creating-an-all-in-one-trading-hub", "https://blokcast.com/article/phemex-introduces-247-tradfi-futures-trading-with-0-fee-carnival-creating-an-all-in-one-trading-hub")</f>
        <v>https://blokcast.com/article/phemex-introduces-247-tradfi-futures-trading-with-0-fee-carnival-creating-an-all-in-one-trading-hub</v>
      </c>
    </row>
    <row r="73">
      <c r="A73">
        <v>72</v>
      </c>
      <c r="B73" t="str">
        <f>HYPERLINK("https://https:/blokroll.com/article/phemex-introduces-247-tradfi-futures-trading-with-0-fee-carnival-creating-an-all-in-one-trading-hub", "https:/blokroll.com/article/phemex-introduces-247-tradfi-futures-trading-with-0-fee-carnival-creating-an-all-in-one-trading-hub")</f>
        <v>https:/blokroll.com/article/phemex-introduces-247-tradfi-futures-trading-with-0-fee-carnival-creating-an-all-in-one-trading-hub</v>
      </c>
    </row>
    <row r="74">
      <c r="A74">
        <v>73</v>
      </c>
      <c r="B74" t="str">
        <f>HYPERLINK("https://crypodds.com/article/phemex-introduces-247-tradfi-futures-trading-with-0-fee-carnival-creating-an-all-in-one-trading-hub", "https://crypodds.com/article/phemex-introduces-247-tradfi-futures-trading-with-0-fee-carnival-creating-an-all-in-one-trading-hub")</f>
        <v>https://crypodds.com/article/phemex-introduces-247-tradfi-futures-trading-with-0-fee-carnival-creating-an-all-in-one-trading-hub</v>
      </c>
    </row>
    <row r="75">
      <c r="A75">
        <v>74</v>
      </c>
      <c r="B75" t="str">
        <f>HYPERLINK("https://luckdapp.com/article/phemex-introduces-247-tradfi-futures-trading-with-0-fee-carnival-creating-an-all-in-one-trading-hub", "https://luckdapp.com/article/phemex-introduces-247-tradfi-futures-trading-with-0-fee-carnival-creating-an-all-in-one-trading-hub")</f>
        <v>https://luckdapp.com/article/phemex-introduces-247-tradfi-futures-trading-with-0-fee-carnival-creating-an-all-in-one-trading-hub</v>
      </c>
    </row>
    <row r="76">
      <c r="A76">
        <v>75</v>
      </c>
      <c r="B76" t="str">
        <f>HYPERLINK("https://tokwager.com/article/phemex-introduces-247-tradfi-futures-trading-with-0-fee-carnival-creating-an-all-in-one-trading-hub", "https://tokwager.com/article/phemex-introduces-247-tradfi-futures-trading-with-0-fee-carnival-creating-an-all-in-one-trading-hub")</f>
        <v>https://tokwager.com/article/phemex-introduces-247-tradfi-futures-trading-with-0-fee-carnival-creating-an-all-in-one-trading-hub</v>
      </c>
    </row>
    <row r="77">
      <c r="A77">
        <v>76</v>
      </c>
      <c r="B77" t="str">
        <f>HYPERLINK("https://coinspiner.com/article/phemex-introduces-247-tradfi-futures-trading-with-0-fee-carnival-creating-an-all-in-one-trading-hub", "https://coinspiner.com/article/phemex-introduces-247-tradfi-futures-trading-with-0-fee-carnival-creating-an-all-in-one-trading-hub")</f>
        <v>https://coinspiner.com/article/phemex-introduces-247-tradfi-futures-trading-with-0-fee-carnival-creating-an-all-in-one-trading-hub</v>
      </c>
    </row>
    <row r="78">
      <c r="A78">
        <v>77</v>
      </c>
      <c r="B78" t="str">
        <f>HYPERLINK("https://blokminties.com/article/phemex-introduces-247-tradfi-futures-trading-with-0-fee-carnival-creating-an-all-in-one-trading-hub", "https://blokminties.com/article/phemex-introduces-247-tradfi-futures-trading-with-0-fee-carnival-creating-an-all-in-one-trading-hub")</f>
        <v>https://blokminties.com/article/phemex-introduces-247-tradfi-futures-trading-with-0-fee-carnival-creating-an-all-in-one-trading-hub</v>
      </c>
    </row>
    <row r="79">
      <c r="A79">
        <v>78</v>
      </c>
      <c r="B79" t="str">
        <f>HYPERLINK("https://crypjackpot.com/article/phemex-introduces-247-tradfi-futures-trading-with-0-fee-carnival-creating-an-all-in-one-trading-hub", "https://crypjackpot.com/article/phemex-introduces-247-tradfi-futures-trading-with-0-fee-carnival-creating-an-all-in-one-trading-hub")</f>
        <v>https://crypjackpot.com/article/phemex-introduces-247-tradfi-futures-trading-with-0-fee-carnival-creating-an-all-in-one-trading-hub</v>
      </c>
    </row>
    <row r="80">
      <c r="A80">
        <v>79</v>
      </c>
      <c r="B80" t="str">
        <f>HYPERLINK("https://reelohub.com/article/phemex-introduces-247-tradfi-futures-trading-with-0-fee-carnival-creating-an-all-in-one-trading-hub", "https://reelohub.com/article/phemex-introduces-247-tradfi-futures-trading-with-0-fee-carnival-creating-an-all-in-one-trading-hub")</f>
        <v>https://reelohub.com/article/phemex-introduces-247-tradfi-futures-trading-with-0-fee-carnival-creating-an-all-in-one-trading-hub</v>
      </c>
    </row>
    <row r="81">
      <c r="A81">
        <v>80</v>
      </c>
      <c r="B81" t="str">
        <f>HYPERLINK("https://dealalog.com/article/phemex-introduces-247-tradfi-futures-trading-with-0-fee-carnival-creating-an-all-in-one-trading-hub", "https://dealalog.com/article/phemex-introduces-247-tradfi-futures-trading-with-0-fee-carnival-creating-an-all-in-one-trading-hub")</f>
        <v>https://dealalog.com/article/phemex-introduces-247-tradfi-futures-trading-with-0-fee-carnival-creating-an-all-in-one-trading-hub</v>
      </c>
    </row>
    <row r="82">
      <c r="A82">
        <v>81</v>
      </c>
      <c r="B82" t="str">
        <f>HYPERLINK("https://rollitdao.com/article/phemex-introduces-247-tradfi-futures-trading-with-0-fee-carnival-creating-an-all-in-one-trading-hub", "https://rollitdao.com/article/phemex-introduces-247-tradfi-futures-trading-with-0-fee-carnival-creating-an-all-in-one-trading-hub")</f>
        <v>https://rollitdao.com/article/phemex-introduces-247-tradfi-futures-trading-with-0-fee-carnival-creating-an-all-in-one-trading-hub</v>
      </c>
    </row>
    <row r="83">
      <c r="A83">
        <v>82</v>
      </c>
      <c r="B83" t="str">
        <f>HYPERLINK("https://betchainx.com/article/phemex-introduces-247-tradfi-futures-trading-with-0-fee-carnival-creating-an-all-in-one-trading-hub", "https://betchainx.com/article/phemex-introduces-247-tradfi-futures-trading-with-0-fee-carnival-creating-an-all-in-one-trading-hub")</f>
        <v>https://betchainx.com/article/phemex-introduces-247-tradfi-futures-trading-with-0-fee-carnival-creating-an-all-in-one-trading-hub</v>
      </c>
    </row>
    <row r="84">
      <c r="A84">
        <v>83</v>
      </c>
      <c r="B84" t="str">
        <f>HYPERLINK("https://caznix.com/article/phemex-introduces-247-tradfi-futures-trading-with-0-fee-carnival-creating-an-all-in-one-trading-hub", "https://caznix.com/article/phemex-introduces-247-tradfi-futures-trading-with-0-fee-carnival-creating-an-all-in-one-trading-hub")</f>
        <v>https://caznix.com/article/phemex-introduces-247-tradfi-futures-trading-with-0-fee-carnival-creating-an-all-in-one-trading-hub</v>
      </c>
    </row>
    <row r="85">
      <c r="A85">
        <v>84</v>
      </c>
      <c r="B85" t="str">
        <f>HYPERLINK("https://crypmag.com/article/phemex-introduces-247-tradfi-futures-trading-with-0-fee-carnival-creating-an-all-in-one-trading-hub", "https://crypmag.com/article/phemex-introduces-247-tradfi-futures-trading-with-0-fee-carnival-creating-an-all-in-one-trading-hub")</f>
        <v>https://crypmag.com/article/phemex-introduces-247-tradfi-futures-trading-with-0-fee-carnival-creating-an-all-in-one-trading-hub</v>
      </c>
    </row>
    <row r="86">
      <c r="A86">
        <v>85</v>
      </c>
      <c r="B86" t="str">
        <f>HYPERLINK("https://tokwire.com/article/phemex-introduces-247-tradfi-futures-trading-with-0-fee-carnival-creating-an-all-in-one-trading-hub", "https://tokwire.com/article/phemex-introduces-247-tradfi-futures-trading-with-0-fee-carnival-creating-an-all-in-one-trading-hub")</f>
        <v>https://tokwire.com/article/phemex-introduces-247-tradfi-futures-trading-with-0-fee-carnival-creating-an-all-in-one-trading-hub</v>
      </c>
    </row>
    <row r="87">
      <c r="A87">
        <v>86</v>
      </c>
      <c r="B87" t="str">
        <f>HYPERLINK("https://blokgo.com/article/phemex-introduces-247-tradfi-futures-trading-with-0-fee-carnival-creating-an-all-in-one-trading-hub", "https://blokgo.com/article/phemex-introduces-247-tradfi-futures-trading-with-0-fee-carnival-creating-an-all-in-one-trading-hub")</f>
        <v>https://blokgo.com/article/phemex-introduces-247-tradfi-futures-trading-with-0-fee-carnival-creating-an-all-in-one-trading-hub</v>
      </c>
    </row>
    <row r="88">
      <c r="A88">
        <v>87</v>
      </c>
      <c r="B88" t="str">
        <f>HYPERLINK("https://spinweb3.com/article/phemex-introduces-247-tradfi-futures-trading-with-0-fee-carnival-creating-an-all-in-one-trading-hub", "https://spinweb3.com/article/phemex-introduces-247-tradfi-futures-trading-with-0-fee-carnival-creating-an-all-in-one-trading-hub")</f>
        <v>https://spinweb3.com/article/phemex-introduces-247-tradfi-futures-trading-with-0-fee-carnival-creating-an-all-in-one-trading-hub</v>
      </c>
    </row>
    <row r="89">
      <c r="A89">
        <v>88</v>
      </c>
      <c r="B89" t="str">
        <f>HYPERLINK("https://rollweb3.com/article/phemex-introduces-247-tradfi-futures-trading-with-0-fee-carnival-creating-an-all-in-one-trading-hub", "https://rollweb3.com/article/phemex-introduces-247-tradfi-futures-trading-with-0-fee-carnival-creating-an-all-in-one-trading-hub")</f>
        <v>https://rollweb3.com/article/phemex-introduces-247-tradfi-futures-trading-with-0-fee-carnival-creating-an-all-in-one-trading-hub</v>
      </c>
    </row>
    <row r="90">
      <c r="A90">
        <v>89</v>
      </c>
      <c r="B90" t="str">
        <f>HYPERLINK("https://blokplay.com/article/phemex-introduces-247-tradfi-futures-trading-with-0-fee-carnival-creating-an-all-in-one-trading-hub", "https://blokplay.com/article/phemex-introduces-247-tradfi-futures-trading-with-0-fee-carnival-creating-an-all-in-one-trading-hub")</f>
        <v>https://blokplay.com/article/phemex-introduces-247-tradfi-futures-trading-with-0-fee-carnival-creating-an-all-in-one-trading-hub</v>
      </c>
    </row>
    <row r="91">
      <c r="A91">
        <v>90</v>
      </c>
      <c r="B91" t="str">
        <f>HYPERLINK("https://blokjack.com/article/phemex-introduces-247-tradfi-futures-trading-with-0-fee-carnival-creating-an-all-in-one-trading-hub", "https://blokjack.com/article/phemex-introduces-247-tradfi-futures-trading-with-0-fee-carnival-creating-an-all-in-one-trading-hub")</f>
        <v>https://blokjack.com/article/phemex-introduces-247-tradfi-futures-trading-with-0-fee-carnival-creating-an-all-in-one-trading-hub</v>
      </c>
    </row>
    <row r="92">
      <c r="A92">
        <v>91</v>
      </c>
      <c r="B92" t="str">
        <f>HYPERLINK("https://rollbetz.com/article/phemex-introduces-247-tradfi-futures-trading-with-0-fee-carnival-creating-an-all-in-one-trading-hub", "https://rollbetz.com/article/phemex-introduces-247-tradfi-futures-trading-with-0-fee-carnival-creating-an-all-in-one-trading-hub")</f>
        <v>https://rollbetz.com/article/phemex-introduces-247-tradfi-futures-trading-with-0-fee-carnival-creating-an-all-in-one-trading-hub</v>
      </c>
    </row>
    <row r="93">
      <c r="A93">
        <v>92</v>
      </c>
      <c r="B93" t="str">
        <f>HYPERLINK("https://coinjackz.com/article/phemex-introduces-247-tradfi-futures-trading-with-0-fee-carnival-creating-an-all-in-one-trading-hub", "https://coinjackz.com/article/phemex-introduces-247-tradfi-futures-trading-with-0-fee-carnival-creating-an-all-in-one-trading-hub")</f>
        <v>https://coinjackz.com/article/phemex-introduces-247-tradfi-futures-trading-with-0-fee-carnival-creating-an-all-in-one-trading-hub</v>
      </c>
    </row>
    <row r="94">
      <c r="A94">
        <v>93</v>
      </c>
      <c r="B94" t="str">
        <f>HYPERLINK("https://tokmintz.com/article/phemex-introduces-247-tradfi-futures-trading-with-0-fee-carnival-creating-an-all-in-one-trading-hub", "https://tokmintz.com/article/phemex-introduces-247-tradfi-futures-trading-with-0-fee-carnival-creating-an-all-in-one-trading-hub")</f>
        <v>https://tokmintz.com/article/phemex-introduces-247-tradfi-futures-trading-with-0-fee-carnival-creating-an-all-in-one-trading-hub</v>
      </c>
    </row>
    <row r="95">
      <c r="A95">
        <v>94</v>
      </c>
      <c r="B95" t="str">
        <f>HYPERLINK("https://blokmeta.com/article/phemex-introduces-247-tradfi-futures-trading-with-0-fee-carnival-creating-an-all-in-one-trading-hub", "https://blokmeta.com/article/phemex-introduces-247-tradfi-futures-trading-with-0-fee-carnival-creating-an-all-in-one-trading-hub")</f>
        <v>https://blokmeta.com/article/phemex-introduces-247-tradfi-futures-trading-with-0-fee-carnival-creating-an-all-in-one-trading-hub</v>
      </c>
    </row>
    <row r="96">
      <c r="A96">
        <v>95</v>
      </c>
      <c r="B96" t="str">
        <f>HYPERLINK("https://chainiv.com/article/phemex-introduces-247-tradfi-futures-trading-with-0-fee-carnival-creating-an-all-in-one-trading-hub", "https://chainiv.com/article/phemex-introduces-247-tradfi-futures-trading-with-0-fee-carnival-creating-an-all-in-one-trading-hub")</f>
        <v>https://chainiv.com/article/phemex-introduces-247-tradfi-futures-trading-with-0-fee-carnival-creating-an-all-in-one-trading-hub</v>
      </c>
    </row>
    <row r="97">
      <c r="A97">
        <v>96</v>
      </c>
      <c r="B97" t="str">
        <f>HYPERLINK("https://coinhiv.com/article/phemex-introduces-247-tradfi-futures-trading-with-0-fee-carnival-creating-an-all-in-one-trading-hub", "https://coinhiv.com/article/phemex-introduces-247-tradfi-futures-trading-with-0-fee-carnival-creating-an-all-in-one-trading-hub")</f>
        <v>https://coinhiv.com/article/phemex-introduces-247-tradfi-futures-trading-with-0-fee-carnival-creating-an-all-in-one-trading-hub</v>
      </c>
    </row>
    <row r="98">
      <c r="A98">
        <v>97</v>
      </c>
      <c r="B98" t="str">
        <f>HYPERLINK("https://web3zee.com/article/phemex-introduces-247-tradfi-futures-trading-with-0-fee-carnival-creating-an-all-in-one-trading-hub", "https://web3zee.com/article/phemex-introduces-247-tradfi-futures-trading-with-0-fee-carnival-creating-an-all-in-one-trading-hub")</f>
        <v>https://web3zee.com/article/phemex-introduces-247-tradfi-futures-trading-with-0-fee-carnival-creating-an-all-in-one-trading-hub</v>
      </c>
    </row>
    <row r="99">
      <c r="A99">
        <v>98</v>
      </c>
      <c r="B99" t="str">
        <f>HYPERLINK("https://cryptenx.com/article/phemex-introduces-247-tradfi-futures-trading-with-0-fee-carnival-creating-an-all-in-one-trading-hub", "https://cryptenx.com/article/phemex-introduces-247-tradfi-futures-trading-with-0-fee-carnival-creating-an-all-in-one-trading-hub")</f>
        <v>https://cryptenx.com/article/phemex-introduces-247-tradfi-futures-trading-with-0-fee-carnival-creating-an-all-in-one-trading-hub</v>
      </c>
    </row>
    <row r="100">
      <c r="A100">
        <v>99</v>
      </c>
      <c r="B100" t="str">
        <f>HYPERLINK("https://betchainz.com/article/phemex-introduces-247-tradfi-futures-trading-with-0-fee-carnival-creating-an-all-in-one-trading-hub", "https://betchainz.com/article/phemex-introduces-247-tradfi-futures-trading-with-0-fee-carnival-creating-an-all-in-one-trading-hub")</f>
        <v>https://betchainz.com/article/phemex-introduces-247-tradfi-futures-trading-with-0-fee-carnival-creating-an-all-in-one-trading-hub</v>
      </c>
    </row>
    <row r="101">
      <c r="A101">
        <v>100</v>
      </c>
      <c r="B101" t="str">
        <f>HYPERLINK("https://chainminey.com/article/phemex-introduces-247-tradfi-futures-trading-with-0-fee-carnival-creating-an-all-in-one-trading-hub", "https://chainminey.com/article/phemex-introduces-247-tradfi-futures-trading-with-0-fee-carnival-creating-an-all-in-one-trading-hub")</f>
        <v>https://chainminey.com/article/phemex-introduces-247-tradfi-futures-trading-with-0-fee-carnival-creating-an-all-in-one-trading-hub</v>
      </c>
    </row>
    <row r="102">
      <c r="A102">
        <v>101</v>
      </c>
      <c r="B102" t="str">
        <f>HYPERLINK("https://rollznow.com/article/phemex-introduces-247-tradfi-futures-trading-with-0-fee-carnival-creating-an-all-in-one-trading-hub", "https://rollznow.com/article/phemex-introduces-247-tradfi-futures-trading-with-0-fee-carnival-creating-an-all-in-one-trading-hub")</f>
        <v>https://rollznow.com/article/phemex-introduces-247-tradfi-futures-trading-with-0-fee-carnival-creating-an-all-in-one-trading-hub</v>
      </c>
    </row>
    <row r="103">
      <c r="A103">
        <v>102</v>
      </c>
      <c r="B103" t="str">
        <f>HYPERLINK("https://tokwagerz.com/article/phemex-introduces-247-tradfi-futures-trading-with-0-fee-carnival-creating-an-all-in-one-trading-hub", "https://tokwagerz.com/article/phemex-introduces-247-tradfi-futures-trading-with-0-fee-carnival-creating-an-all-in-one-trading-hub")</f>
        <v>https://tokwagerz.com/article/phemex-introduces-247-tradfi-futures-trading-with-0-fee-carnival-creating-an-all-in-one-trading-hub</v>
      </c>
    </row>
    <row r="104">
      <c r="A104">
        <v>103</v>
      </c>
      <c r="B104" t="str">
        <f>HYPERLINK("https://coinsae.com/article/phemex-introduces-247-tradfi-futures-trading-with-0-fee-carnival-creating-an-all-in-one-trading-hub", "https://coinsae.com/article/phemex-introduces-247-tradfi-futures-trading-with-0-fee-carnival-creating-an-all-in-one-trading-hub")</f>
        <v>https://coinsae.com/article/phemex-introduces-247-tradfi-futures-trading-with-0-fee-carnival-creating-an-all-in-one-trading-hub</v>
      </c>
    </row>
    <row r="105">
      <c r="A105">
        <v>104</v>
      </c>
      <c r="B105" t="str">
        <f>HYPERLINK("http://localhost/article/phemex-introduces-247-tradfi-futures-trading-with-0-fee-carnival-creating-an-all-in-one-trading-hub", "http://localhost/article/phemex-introduces-247-tradfi-futures-trading-with-0-fee-carnival-creating-an-all-in-one-trading-hub")</f>
        <v>http://localhost/article/phemex-introduces-247-tradfi-futures-trading-with-0-fee-carnival-creating-an-all-in-one-trading-hub</v>
      </c>
    </row>
  </sheetData>
  <ignoredErrors>
    <ignoredError numberStoredAsText="1" sqref="A1:B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